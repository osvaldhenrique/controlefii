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B25833ED-7EC7-432A-A43E-F8E349EE5A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trole de FIIs" sheetId="2" r:id="rId1"/>
    <sheet name="Planilha1" sheetId="3" r:id="rId2"/>
  </sheets>
  <definedNames>
    <definedName name="aporte">'Controle de FIIs'!$F$16:$F$16</definedName>
    <definedName name="dividendos">'Controle de FIIs'!$F$20:$F$20</definedName>
    <definedName name="orcamento_investir">'Controle de FIIs'!$F$10:$F$10</definedName>
    <definedName name="patrimonio_estimado">'Controle de FIIs'!$F$19:$F$19</definedName>
    <definedName name="recomendacao_mensal">'Controle de FIIs'!$F$12:$F$12</definedName>
    <definedName name="renda_mensal">'Controle de FIIs'!$F$9:$F$9</definedName>
    <definedName name="rendimento_carteira">'Controle de FIIs'!$F$11:$F$11</definedName>
    <definedName name="simulacao_12anos">'Controle de FIIs'!$F$27:$F$27</definedName>
    <definedName name="simulacao_15anos">'Controle de FIIs'!$F$28:$F$28</definedName>
    <definedName name="simulacao_18anos">'Controle de FIIs'!$F$29:$F$29</definedName>
    <definedName name="simulacao_21anos">'Controle de FIIs'!$F$30:$F$30</definedName>
    <definedName name="simulacao_24anos">'Controle de FIIs'!$F$31:$F$31</definedName>
    <definedName name="simulacao_27anos">'Controle de FIIs'!$F$32:$F$32</definedName>
    <definedName name="simulacao_30anos">'Controle de FIIs'!$F$33:$F$33</definedName>
    <definedName name="simulacao_3anos">'Controle de FIIs'!$F$24:$F$24</definedName>
    <definedName name="simulacao_6anos">'Controle de FIIs'!$F$25:$F$25</definedName>
    <definedName name="simulacao_9anos">'Controle de FIIs'!$F$26:$F$26</definedName>
    <definedName name="taxa_mensal">'Controle de FIIs'!$F$18:$F$18</definedName>
    <definedName name="tempo">'Controle de FIIs'!$F$17:$F$17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2" i="3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B33" i="2"/>
  <c r="B32" i="2"/>
  <c r="B31" i="2"/>
  <c r="B30" i="2"/>
  <c r="B29" i="2"/>
  <c r="B28" i="2"/>
  <c r="B27" i="2"/>
  <c r="B26" i="2"/>
  <c r="B25" i="2"/>
  <c r="B24" i="2"/>
  <c r="E52" i="2" a="1"/>
  <c r="E52" i="2"/>
  <c r="A8" i="3"/>
  <c r="A9" i="3"/>
  <c r="A10" i="3"/>
  <c r="A11" i="3"/>
  <c r="A12" i="3"/>
  <c r="A13" i="3"/>
  <c r="A14" i="3"/>
  <c r="A15" i="3"/>
  <c r="A16" i="3"/>
  <c r="A17" i="3"/>
  <c r="A18" i="3"/>
  <c r="A19" i="3"/>
  <c r="F19" i="2"/>
  <c r="F20" i="2" s="1"/>
  <c r="F12" i="2"/>
  <c r="E56" i="2" l="1"/>
  <c r="E57" i="2"/>
  <c r="E58" i="2"/>
  <c r="E59" i="2"/>
  <c r="E60" i="2"/>
  <c r="E55" i="2"/>
  <c r="F55" i="2"/>
  <c r="F60" i="2"/>
  <c r="F59" i="2"/>
  <c r="F58" i="2"/>
  <c r="F57" i="2"/>
  <c r="F5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<sst xmlns="http://schemas.openxmlformats.org/spreadsheetml/2006/main" count="65" uniqueCount="31">
  <si>
    <t>CONFIGURAÇÕES</t>
  </si>
  <si>
    <t>Renda Mensal</t>
  </si>
  <si>
    <t>Orçamento para investir</t>
  </si>
  <si>
    <t>Rendimento da carteira</t>
  </si>
  <si>
    <t>Recomendação de investimento mensal</t>
  </si>
  <si>
    <t>SIMULAÇÃO DE CENÁRIOS</t>
  </si>
  <si>
    <t>Quanto investidos por mês?</t>
  </si>
  <si>
    <t>Por quantos anos?</t>
  </si>
  <si>
    <t>Taxa de rendimento mensal</t>
  </si>
  <si>
    <t>Patrimônio acumulado</t>
  </si>
  <si>
    <t>Dividendos mensais</t>
  </si>
  <si>
    <t>Simulação de Cenários</t>
  </si>
  <si>
    <t>Dividendos</t>
  </si>
  <si>
    <t>Perfil de Investidor</t>
  </si>
  <si>
    <t>Agressivo</t>
  </si>
  <si>
    <t>VALOR A SER INVESTIDO POR MÊS</t>
  </si>
  <si>
    <t>TIPO DE FII</t>
  </si>
  <si>
    <t>PERCENTUAL</t>
  </si>
  <si>
    <t>VALORES</t>
  </si>
  <si>
    <t>PAPEL</t>
  </si>
  <si>
    <t>RENDA URBANA</t>
  </si>
  <si>
    <t>LOGÍSTICA</t>
  </si>
  <si>
    <t>SHOPPINGS</t>
  </si>
  <si>
    <t>LAGES CORPORATIVAS</t>
  </si>
  <si>
    <t>FOFS</t>
  </si>
  <si>
    <t>CHAVE</t>
  </si>
  <si>
    <t>PERFIL</t>
  </si>
  <si>
    <t>TIPO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</si>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</sst>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9CC6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49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theme="1"/>
      </bottom>
      <diagonal/>
    </border>
    <border>
      <left style="medium">
        <color rgb="FF000000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medium">
        <color rgb="FF000000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1"/>
      </right>
      <top/>
      <bottom style="thin">
        <color theme="2" tint="-0.749992370372631"/>
      </bottom>
      <diagonal/>
    </border>
    <border>
      <left style="medium">
        <color theme="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1"/>
      </left>
      <right style="thin">
        <color theme="2" tint="-0.749992370372631"/>
      </right>
      <top style="thin">
        <color theme="2" tint="-0.749992370372631"/>
      </top>
      <bottom style="medium">
        <color theme="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1"/>
      </bottom>
      <diagonal/>
    </border>
    <border>
      <left style="thin">
        <color theme="2" tint="-0.749992370372631"/>
      </left>
      <right style="medium">
        <color theme="1"/>
      </right>
      <top style="thin">
        <color theme="2" tint="-0.749992370372631"/>
      </top>
      <bottom style="medium">
        <color theme="1"/>
      </bottom>
      <diagonal/>
    </border>
    <border>
      <left/>
      <right/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 style="thin">
        <color theme="0" tint="-0.14999847407452621"/>
      </bottom>
      <diagonal/>
    </border>
    <border>
      <left/>
      <right style="medium">
        <color rgb="FF000000"/>
      </right>
      <top/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 style="medium">
        <color theme="1"/>
      </left>
      <right/>
      <top/>
      <bottom/>
      <diagonal/>
    </border>
    <border>
      <left style="medium">
        <color rgb="FF000000"/>
      </left>
      <right style="thin">
        <color theme="0" tint="-0.14999847407452621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0" tint="-0.14999847407452621"/>
      </left>
      <right style="medium">
        <color rgb="FF000000"/>
      </right>
      <top style="medium">
        <color rgb="FF000000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164" fontId="1" fillId="0" borderId="13" xfId="0" applyNumberFormat="1" applyFont="1" applyBorder="1" applyAlignment="1"/>
    <xf numFmtId="10" fontId="1" fillId="0" borderId="16" xfId="0" applyNumberFormat="1" applyFont="1" applyBorder="1" applyAlignment="1"/>
    <xf numFmtId="10" fontId="1" fillId="0" borderId="16" xfId="0" applyNumberFormat="1" applyFont="1" applyFill="1" applyBorder="1" applyAlignment="1"/>
    <xf numFmtId="164" fontId="1" fillId="3" borderId="19" xfId="0" applyNumberFormat="1" applyFont="1" applyFill="1" applyBorder="1" applyAlignment="1"/>
    <xf numFmtId="164" fontId="1" fillId="0" borderId="13" xfId="0" applyNumberFormat="1" applyFont="1" applyBorder="1" applyAlignment="1">
      <alignment horizontal="right" vertical="center"/>
    </xf>
    <xf numFmtId="1" fontId="1" fillId="0" borderId="16" xfId="0" applyNumberFormat="1" applyFont="1" applyBorder="1" applyAlignment="1">
      <alignment horizontal="right" vertical="center"/>
    </xf>
    <xf numFmtId="10" fontId="1" fillId="0" borderId="16" xfId="0" applyNumberFormat="1" applyFont="1" applyBorder="1" applyAlignment="1">
      <alignment horizontal="right" vertical="center"/>
    </xf>
    <xf numFmtId="164" fontId="1" fillId="3" borderId="16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 applyAlignment="1">
      <alignment horizontal="right" vertical="center"/>
    </xf>
    <xf numFmtId="0" fontId="0" fillId="5" borderId="0" xfId="0" applyFill="1"/>
    <xf numFmtId="0" fontId="2" fillId="5" borderId="0" xfId="0" applyFont="1" applyFill="1" applyBorder="1" applyAlignment="1">
      <alignment horizontal="center" vertical="center"/>
    </xf>
    <xf numFmtId="164" fontId="1" fillId="5" borderId="0" xfId="0" applyNumberFormat="1" applyFont="1" applyFill="1" applyBorder="1" applyAlignment="1"/>
    <xf numFmtId="8" fontId="1" fillId="5" borderId="0" xfId="0" applyNumberFormat="1" applyFont="1" applyFill="1" applyBorder="1" applyAlignment="1"/>
    <xf numFmtId="0" fontId="4" fillId="6" borderId="3" xfId="0" applyFont="1" applyFill="1" applyBorder="1" applyAlignment="1">
      <alignment horizontal="center"/>
    </xf>
    <xf numFmtId="9" fontId="6" fillId="5" borderId="24" xfId="0" applyNumberFormat="1" applyFont="1" applyFill="1" applyBorder="1" applyAlignment="1">
      <alignment horizontal="center"/>
    </xf>
    <xf numFmtId="164" fontId="6" fillId="5" borderId="25" xfId="0" applyNumberFormat="1" applyFont="1" applyFill="1" applyBorder="1" applyAlignment="1">
      <alignment horizontal="center"/>
    </xf>
    <xf numFmtId="164" fontId="6" fillId="5" borderId="28" xfId="0" applyNumberFormat="1" applyFont="1" applyFill="1" applyBorder="1" applyAlignment="1">
      <alignment horizontal="center"/>
    </xf>
    <xf numFmtId="164" fontId="6" fillId="5" borderId="31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9" fontId="6" fillId="5" borderId="33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0" fontId="6" fillId="5" borderId="30" xfId="0" applyFont="1" applyFill="1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5" fillId="5" borderId="20" xfId="0" applyNumberFormat="1" applyFont="1" applyFill="1" applyBorder="1" applyAlignment="1">
      <alignment horizontal="center" vertical="center"/>
    </xf>
    <xf numFmtId="164" fontId="5" fillId="5" borderId="21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4" fontId="6" fillId="5" borderId="22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5" xfId="0" applyFill="1" applyBorder="1" applyAlignment="1"/>
    <xf numFmtId="0" fontId="0" fillId="3" borderId="14" xfId="0" applyFill="1" applyBorder="1" applyAlignment="1"/>
    <xf numFmtId="0" fontId="0" fillId="3" borderId="17" xfId="0" applyFill="1" applyBorder="1" applyAlignment="1"/>
    <xf numFmtId="0" fontId="0" fillId="3" borderId="18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7" fillId="5" borderId="0" xfId="0" applyFont="1" applyFill="1"/>
    <xf numFmtId="164" fontId="1" fillId="3" borderId="34" xfId="0" applyNumberFormat="1" applyFont="1" applyFill="1" applyBorder="1" applyAlignment="1"/>
    <xf numFmtId="164" fontId="1" fillId="3" borderId="35" xfId="0" applyNumberFormat="1" applyFont="1" applyFill="1" applyBorder="1" applyAlignment="1"/>
    <xf numFmtId="164" fontId="1" fillId="3" borderId="36" xfId="0" applyNumberFormat="1" applyFont="1" applyFill="1" applyBorder="1" applyAlignment="1"/>
    <xf numFmtId="8" fontId="1" fillId="3" borderId="36" xfId="0" applyNumberFormat="1" applyFont="1" applyFill="1" applyBorder="1" applyAlignment="1"/>
    <xf numFmtId="164" fontId="1" fillId="3" borderId="37" xfId="0" applyNumberFormat="1" applyFont="1" applyFill="1" applyBorder="1" applyAlignment="1"/>
    <xf numFmtId="0" fontId="2" fillId="2" borderId="38" xfId="0" applyFont="1" applyFill="1" applyBorder="1" applyAlignment="1">
      <alignment horizontal="center" vertical="center"/>
    </xf>
    <xf numFmtId="0" fontId="0" fillId="3" borderId="39" xfId="0" applyFill="1" applyBorder="1" applyAlignment="1"/>
    <xf numFmtId="0" fontId="0" fillId="3" borderId="40" xfId="0" applyFill="1" applyBorder="1" applyAlignment="1"/>
    <xf numFmtId="164" fontId="1" fillId="3" borderId="41" xfId="0" applyNumberFormat="1" applyFont="1" applyFill="1" applyBorder="1" applyAlignment="1">
      <alignment vertical="center"/>
    </xf>
    <xf numFmtId="0" fontId="0" fillId="3" borderId="42" xfId="0" applyFill="1" applyBorder="1" applyAlignment="1"/>
    <xf numFmtId="0" fontId="0" fillId="3" borderId="43" xfId="0" applyFill="1" applyBorder="1" applyAlignment="1"/>
    <xf numFmtId="164" fontId="1" fillId="3" borderId="44" xfId="0" applyNumberFormat="1" applyFont="1" applyFill="1" applyBorder="1" applyAlignment="1">
      <alignment vertical="center"/>
    </xf>
    <xf numFmtId="0" fontId="0" fillId="3" borderId="45" xfId="0" applyFill="1" applyBorder="1" applyAlignment="1"/>
    <xf numFmtId="0" fontId="0" fillId="3" borderId="46" xfId="0" applyFill="1" applyBorder="1" applyAlignment="1"/>
    <xf numFmtId="164" fontId="1" fillId="3" borderId="47" xfId="0" applyNumberFormat="1" applyFont="1" applyFill="1" applyBorder="1" applyAlignment="1">
      <alignment vertical="center"/>
    </xf>
    <xf numFmtId="0" fontId="0" fillId="0" borderId="48" xfId="0" applyBorder="1" applyAlignment="1">
      <alignment horizontal="center"/>
    </xf>
    <xf numFmtId="0" fontId="0" fillId="0" borderId="48" xfId="0" applyBorder="1"/>
    <xf numFmtId="9" fontId="0" fillId="0" borderId="48" xfId="0" applyNumberFormat="1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Medium9"/>
  <colors>
    <mruColors>
      <color rgb="FF39CC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da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tx>
            <c:v>Distribuição da Carteira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98-4C10-92F6-99DDC68C2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98-4C10-92F6-99DDC68C2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98-4C10-92F6-99DDC68C22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98-4C10-92F6-99DDC68C22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98-4C10-92F6-99DDC68C22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98-4C10-92F6-99DDC68C221C}"/>
              </c:ext>
            </c:extLst>
          </c:dPt>
          <c:cat>
            <c:strRef>
              <c:f>'Controle de FIIs'!B55:B60</c:f>
              <c:strCache>
                <c:ptCount val="6"/>
                <c:pt idx="0">
                  <c:v>PAPEL</c:v>
                </c:pt>
                <c:pt idx="1">
                  <c:v>RENDA URBANA</c:v>
                </c:pt>
                <c:pt idx="2">
                  <c:v>LOGÍSTICA</c:v>
                </c:pt>
                <c:pt idx="3">
                  <c:v>SHOPPINGS</c:v>
                </c:pt>
                <c:pt idx="4">
                  <c:v>LAGES CORPORATIVAS</c:v>
                </c:pt>
                <c:pt idx="5">
                  <c:v>FOFS</c:v>
                </c:pt>
              </c:strCache>
            </c:strRef>
          </c:cat>
          <c:val>
            <c:numRef>
              <c:f>'Controle de FIIs'!F55:F60</c:f>
              <c:numCache>
                <c:formatCode>"R$"\ #,##0.00</c:formatCode>
                <c:ptCount val="6"/>
                <c:pt idx="0">
                  <c:v>45</c:v>
                </c:pt>
                <c:pt idx="1">
                  <c:v>30</c:v>
                </c:pt>
                <c:pt idx="2">
                  <c:v>60</c:v>
                </c:pt>
                <c:pt idx="3">
                  <c:v>30</c:v>
                </c:pt>
                <c:pt idx="4">
                  <c:v>75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F14-484C-ABE8-38EA8AAF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Estimada do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Patrimônio Estimado</c:v>
          </c:tx>
          <c:spPr>
            <a:ln w="28575" cap="rnd" cmpd="sng" algn="ctr">
              <a:solidFill>
                <a:srgbClr val="4472C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30549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'Controle de FIIs'!A24:A33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cat>
          <c:val>
            <c:numRef>
              <c:f>'Controle de FIIs'!$E$24:$E$33</c:f>
              <c:numCache>
                <c:formatCode>"R$"\ #,##0.00</c:formatCode>
                <c:ptCount val="10"/>
                <c:pt idx="0">
                  <c:v>13112.512206906633</c:v>
                </c:pt>
                <c:pt idx="1">
                  <c:v>32409.060297479977</c:v>
                </c:pt>
                <c:pt idx="2">
                  <c:v>60806.118186637301</c:v>
                </c:pt>
                <c:pt idx="3">
                  <c:v>102595.60783914605</c:v>
                </c:pt>
                <c:pt idx="4">
                  <c:v>164093.57894001628</c:v>
                </c:pt>
                <c:pt idx="5">
                  <c:v>254594.81456102658</c:v>
                </c:pt>
                <c:pt idx="6">
                  <c:v>387777.64160901884</c:v>
                </c:pt>
                <c:pt idx="7">
                  <c:v>583771.26864384755</c:v>
                </c:pt>
                <c:pt idx="8">
                  <c:v>872198.10782203404</c:v>
                </c:pt>
                <c:pt idx="9">
                  <c:v>1296650.8965014142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5F-4268-BA8B-8832FCEAE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337735"/>
        <c:axId val="886584839"/>
      </c:lineChart>
      <c:catAx>
        <c:axId val="1179337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584839"/>
        <c:crosses val="autoZero"/>
        <c:auto val="1"/>
        <c:lblAlgn val="ctr"/>
        <c:lblOffset val="100"/>
        <c:noMultiLvlLbl val="0"/>
      </c:catAx>
      <c:valAx>
        <c:axId val="8865848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179337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247650</xdr:colOff>
      <xdr:row>4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1DF5E5-FB24-411B-93C2-BE73FAD0C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2686" b="43989"/>
        <a:stretch>
          <a:fillRect/>
        </a:stretch>
      </xdr:blipFill>
      <xdr:spPr>
        <a:xfrm>
          <a:off x="0" y="0"/>
          <a:ext cx="5895975" cy="771525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61</xdr:row>
      <xdr:rowOff>76200</xdr:rowOff>
    </xdr:from>
    <xdr:to>
      <xdr:col>5</xdr:col>
      <xdr:colOff>990600</xdr:colOff>
      <xdr:row>73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6852D7-5DCE-A9EE-52BC-58C90F8DED4B}"/>
            </a:ext>
            <a:ext uri="{147F2762-F138-4A5C-976F-8EAC2B608ADB}">
              <a16:predDERef xmlns:a16="http://schemas.microsoft.com/office/drawing/2014/main" pred="{0C1DF5E5-FB24-411B-93C2-BE73FAD0C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34</xdr:row>
      <xdr:rowOff>0</xdr:rowOff>
    </xdr:from>
    <xdr:to>
      <xdr:col>5</xdr:col>
      <xdr:colOff>990600</xdr:colOff>
      <xdr:row>48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0A5DBA-D409-7B50-B4AF-181EC69972B9}"/>
            </a:ext>
            <a:ext uri="{147F2762-F138-4A5C-976F-8EAC2B608ADB}">
              <a16:predDERef xmlns:a16="http://schemas.microsoft.com/office/drawing/2014/main" pred="{8D6852D7-5DCE-A9EE-52BC-58C90F8DE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D310-4023-497A-B5B5-011F0E188CF5}">
  <dimension ref="A1:G75"/>
  <sheetViews>
    <sheetView showGridLines="0" tabSelected="1" topLeftCell="A46" workbookViewId="0">
      <selection activeCell="E51" sqref="E51:F51"/>
    </sheetView>
  </sheetViews>
  <sheetFormatPr defaultColWidth="0" defaultRowHeight="15" zeroHeight="1"/>
  <cols>
    <col min="1" max="1" width="4.140625" customWidth="1"/>
    <col min="2" max="3" width="9.140625" customWidth="1"/>
    <col min="4" max="4" width="23.140625" customWidth="1"/>
    <col min="5" max="5" width="15" customWidth="1"/>
    <col min="6" max="6" width="24.140625" customWidth="1"/>
    <col min="7" max="7" width="3.85546875" customWidth="1"/>
  </cols>
  <sheetData>
    <row r="1" spans="1:7" s="11" customFormat="1"/>
    <row r="2" spans="1:7" s="11" customFormat="1"/>
    <row r="3" spans="1:7" s="11" customFormat="1"/>
    <row r="4" spans="1:7" s="11" customFormat="1"/>
    <row r="5" spans="1:7" s="11" customFormat="1" ht="3.75" customHeight="1"/>
    <row r="6" spans="1:7" s="11" customFormat="1"/>
    <row r="7" spans="1:7" ht="15" customHeight="1">
      <c r="A7" s="11"/>
      <c r="B7" s="45" t="s">
        <v>0</v>
      </c>
      <c r="C7" s="46"/>
      <c r="D7" s="46"/>
      <c r="E7" s="46"/>
      <c r="F7" s="47"/>
      <c r="G7" s="11"/>
    </row>
    <row r="8" spans="1:7" ht="15" customHeight="1">
      <c r="A8" s="11"/>
      <c r="B8" s="48"/>
      <c r="C8" s="49"/>
      <c r="D8" s="49"/>
      <c r="E8" s="49"/>
      <c r="F8" s="50"/>
      <c r="G8" s="11"/>
    </row>
    <row r="9" spans="1:7">
      <c r="A9" s="11"/>
      <c r="B9" s="30" t="s">
        <v>1</v>
      </c>
      <c r="C9" s="31"/>
      <c r="D9" s="31"/>
      <c r="E9" s="31"/>
      <c r="F9" s="2">
        <v>3000</v>
      </c>
      <c r="G9" s="11"/>
    </row>
    <row r="10" spans="1:7">
      <c r="A10" s="11"/>
      <c r="B10" s="51" t="s">
        <v>2</v>
      </c>
      <c r="C10" s="52"/>
      <c r="D10" s="52"/>
      <c r="E10" s="52"/>
      <c r="F10" s="3">
        <v>0.1</v>
      </c>
      <c r="G10" s="11"/>
    </row>
    <row r="11" spans="1:7">
      <c r="A11" s="11"/>
      <c r="B11" s="61" t="s">
        <v>3</v>
      </c>
      <c r="C11" s="62"/>
      <c r="D11" s="62"/>
      <c r="E11" s="62"/>
      <c r="F11" s="4">
        <v>0.01</v>
      </c>
      <c r="G11" s="11"/>
    </row>
    <row r="12" spans="1:7">
      <c r="A12" s="11"/>
      <c r="B12" s="59" t="s">
        <v>4</v>
      </c>
      <c r="C12" s="60"/>
      <c r="D12" s="60"/>
      <c r="E12" s="60"/>
      <c r="F12" s="5">
        <f>F9*F10</f>
        <v>300</v>
      </c>
      <c r="G12" s="11"/>
    </row>
    <row r="13" spans="1:7" s="11" customFormat="1"/>
    <row r="14" spans="1:7">
      <c r="A14" s="11"/>
      <c r="B14" s="32" t="s">
        <v>5</v>
      </c>
      <c r="C14" s="33"/>
      <c r="D14" s="33"/>
      <c r="E14" s="33"/>
      <c r="F14" s="34"/>
      <c r="G14" s="11"/>
    </row>
    <row r="15" spans="1:7">
      <c r="A15" s="11"/>
      <c r="B15" s="35"/>
      <c r="C15" s="36"/>
      <c r="D15" s="36"/>
      <c r="E15" s="36"/>
      <c r="F15" s="37"/>
      <c r="G15" s="11"/>
    </row>
    <row r="16" spans="1:7">
      <c r="A16" s="11"/>
      <c r="B16" s="30" t="s">
        <v>6</v>
      </c>
      <c r="C16" s="31"/>
      <c r="D16" s="31"/>
      <c r="E16" s="31"/>
      <c r="F16" s="6">
        <v>300</v>
      </c>
      <c r="G16" s="11"/>
    </row>
    <row r="17" spans="1:7">
      <c r="A17" s="11"/>
      <c r="B17" s="51" t="s">
        <v>7</v>
      </c>
      <c r="C17" s="52"/>
      <c r="D17" s="52"/>
      <c r="E17" s="52"/>
      <c r="F17" s="7">
        <v>4</v>
      </c>
      <c r="G17" s="11"/>
    </row>
    <row r="18" spans="1:7">
      <c r="A18" s="11"/>
      <c r="B18" s="51" t="s">
        <v>8</v>
      </c>
      <c r="C18" s="52"/>
      <c r="D18" s="52"/>
      <c r="E18" s="52"/>
      <c r="F18" s="8">
        <v>1.0789999999999999E-2</v>
      </c>
      <c r="G18" s="11"/>
    </row>
    <row r="19" spans="1:7">
      <c r="A19" s="11"/>
      <c r="B19" s="58" t="s">
        <v>9</v>
      </c>
      <c r="C19" s="57"/>
      <c r="D19" s="57"/>
      <c r="E19" s="57"/>
      <c r="F19" s="9">
        <f>FV(F18,F17*12,-F16)</f>
        <v>18736.305897483046</v>
      </c>
      <c r="G19" s="11"/>
    </row>
    <row r="20" spans="1:7">
      <c r="A20" s="11"/>
      <c r="B20" s="59" t="s">
        <v>10</v>
      </c>
      <c r="C20" s="60"/>
      <c r="D20" s="60"/>
      <c r="E20" s="60"/>
      <c r="F20" s="10">
        <f>F19*F11</f>
        <v>187.36305897483047</v>
      </c>
      <c r="G20" s="11"/>
    </row>
    <row r="21" spans="1:7" s="11" customFormat="1"/>
    <row r="22" spans="1:7" ht="15" customHeight="1">
      <c r="A22" s="11"/>
      <c r="B22" s="55" t="s">
        <v>11</v>
      </c>
      <c r="C22" s="56"/>
      <c r="D22" s="56"/>
      <c r="E22" s="56"/>
      <c r="F22" s="53" t="s">
        <v>12</v>
      </c>
      <c r="G22" s="12"/>
    </row>
    <row r="23" spans="1:7" ht="15" customHeight="1">
      <c r="A23" s="11"/>
      <c r="B23" s="69"/>
      <c r="C23" s="36"/>
      <c r="D23" s="36"/>
      <c r="E23" s="36"/>
      <c r="F23" s="54"/>
      <c r="G23" s="12"/>
    </row>
    <row r="24" spans="1:7">
      <c r="A24" s="63">
        <v>3</v>
      </c>
      <c r="B24" s="70" t="str">
        <f>"Em "&amp;A24&amp;" anos"</f>
        <v>Em 3 anos</v>
      </c>
      <c r="C24" s="71"/>
      <c r="D24" s="71"/>
      <c r="E24" s="72">
        <f>FV($F$18,A24*12,-$F$16)</f>
        <v>13112.512206906633</v>
      </c>
      <c r="F24" s="64">
        <f>E24*$F$11</f>
        <v>131.12512206906632</v>
      </c>
      <c r="G24" s="13"/>
    </row>
    <row r="25" spans="1:7">
      <c r="A25" s="63">
        <v>6</v>
      </c>
      <c r="B25" s="73" t="str">
        <f>"Em "&amp;A25&amp;" anos"</f>
        <v>Em 6 anos</v>
      </c>
      <c r="C25" s="74"/>
      <c r="D25" s="74"/>
      <c r="E25" s="75">
        <f>FV($F$18,A25*12,-$F$16)</f>
        <v>32409.060297479977</v>
      </c>
      <c r="F25" s="65">
        <f>E25*$F$11</f>
        <v>324.09060297479976</v>
      </c>
      <c r="G25" s="13"/>
    </row>
    <row r="26" spans="1:7">
      <c r="A26" s="63">
        <v>9</v>
      </c>
      <c r="B26" s="73" t="str">
        <f>"Em "&amp;A26&amp;" anos"</f>
        <v>Em 9 anos</v>
      </c>
      <c r="C26" s="74"/>
      <c r="D26" s="74"/>
      <c r="E26" s="75">
        <f>FV($F$18,A26*12,-$F$16)</f>
        <v>60806.118186637301</v>
      </c>
      <c r="F26" s="65">
        <f>E26*$F$11</f>
        <v>608.06118186637298</v>
      </c>
      <c r="G26" s="14"/>
    </row>
    <row r="27" spans="1:7">
      <c r="A27" s="63">
        <v>12</v>
      </c>
      <c r="B27" s="73" t="str">
        <f>"Em "&amp;A27&amp;" anos"</f>
        <v>Em 12 anos</v>
      </c>
      <c r="C27" s="74"/>
      <c r="D27" s="74"/>
      <c r="E27" s="75">
        <f>FV($F$18,A27*12,-$F$16)</f>
        <v>102595.60783914605</v>
      </c>
      <c r="F27" s="65">
        <f>E27*$F$11</f>
        <v>1025.9560783914606</v>
      </c>
      <c r="G27" s="13"/>
    </row>
    <row r="28" spans="1:7">
      <c r="A28" s="63">
        <v>15</v>
      </c>
      <c r="B28" s="73" t="str">
        <f>"Em "&amp;A28&amp;" anos"</f>
        <v>Em 15 anos</v>
      </c>
      <c r="C28" s="74"/>
      <c r="D28" s="74"/>
      <c r="E28" s="75">
        <f>FV($F$18,A28*12,-$F$16)</f>
        <v>164093.57894001628</v>
      </c>
      <c r="F28" s="65">
        <f>E28*$F$11</f>
        <v>1640.9357894001628</v>
      </c>
      <c r="G28" s="13"/>
    </row>
    <row r="29" spans="1:7" s="11" customFormat="1" ht="15.75" customHeight="1">
      <c r="A29" s="63">
        <v>18</v>
      </c>
      <c r="B29" s="73" t="str">
        <f>"Em "&amp;A29&amp;" anos"</f>
        <v>Em 18 anos</v>
      </c>
      <c r="C29" s="74"/>
      <c r="D29" s="74"/>
      <c r="E29" s="75">
        <f>FV($F$18,A29*12,-$F$16)</f>
        <v>254594.81456102658</v>
      </c>
      <c r="F29" s="65">
        <f>E29*$F$11</f>
        <v>2545.9481456102658</v>
      </c>
    </row>
    <row r="30" spans="1:7" s="11" customFormat="1">
      <c r="A30" s="63">
        <v>21</v>
      </c>
      <c r="B30" s="73" t="str">
        <f>"Em "&amp;A30&amp;" anos"</f>
        <v>Em 21 anos</v>
      </c>
      <c r="C30" s="74"/>
      <c r="D30" s="74"/>
      <c r="E30" s="75">
        <f>FV($F$18,A30*12,-$F$16)</f>
        <v>387777.64160901884</v>
      </c>
      <c r="F30" s="66">
        <f>E30*$F$11</f>
        <v>3877.7764160901884</v>
      </c>
    </row>
    <row r="31" spans="1:7" s="11" customFormat="1">
      <c r="A31" s="63">
        <v>24</v>
      </c>
      <c r="B31" s="73" t="str">
        <f>"Em "&amp;A31&amp;" anos"</f>
        <v>Em 24 anos</v>
      </c>
      <c r="C31" s="74"/>
      <c r="D31" s="74"/>
      <c r="E31" s="75">
        <f>FV($F$18,A31*12,-$F$16)</f>
        <v>583771.26864384755</v>
      </c>
      <c r="F31" s="67">
        <f>E31*$F$11</f>
        <v>5837.7126864384754</v>
      </c>
    </row>
    <row r="32" spans="1:7" s="11" customFormat="1">
      <c r="A32" s="63">
        <v>27</v>
      </c>
      <c r="B32" s="73" t="str">
        <f>"Em "&amp;A32&amp;" anos"</f>
        <v>Em 27 anos</v>
      </c>
      <c r="C32" s="74"/>
      <c r="D32" s="74"/>
      <c r="E32" s="75">
        <f>FV($F$18,A32*12,-$F$16)</f>
        <v>872198.10782203404</v>
      </c>
      <c r="F32" s="66">
        <f>E32*$F$11</f>
        <v>8721.9810782203404</v>
      </c>
    </row>
    <row r="33" spans="1:7" s="11" customFormat="1">
      <c r="A33" s="63">
        <v>30</v>
      </c>
      <c r="B33" s="76" t="str">
        <f>"Em "&amp;A33&amp;" anos"</f>
        <v>Em 30 anos</v>
      </c>
      <c r="C33" s="77"/>
      <c r="D33" s="77"/>
      <c r="E33" s="78">
        <f>FV($F$18,A33*12,-$F$16)</f>
        <v>1296650.8965014142</v>
      </c>
      <c r="F33" s="68">
        <f>E33*$F$11</f>
        <v>12966.508965014144</v>
      </c>
    </row>
    <row r="34" spans="1:7" s="11" customFormat="1"/>
    <row r="35" spans="1:7" s="11" customFormat="1"/>
    <row r="36" spans="1:7" s="11" customFormat="1"/>
    <row r="37" spans="1:7" s="11" customFormat="1"/>
    <row r="38" spans="1:7" s="11" customFormat="1"/>
    <row r="39" spans="1:7" s="11" customFormat="1"/>
    <row r="40" spans="1:7" s="11" customFormat="1"/>
    <row r="41" spans="1:7" s="11" customFormat="1"/>
    <row r="42" spans="1:7" s="11" customFormat="1"/>
    <row r="43" spans="1:7" s="11" customFormat="1"/>
    <row r="44" spans="1:7" s="11" customFormat="1"/>
    <row r="45" spans="1:7" s="11" customFormat="1"/>
    <row r="46" spans="1:7" s="11" customFormat="1" ht="28.5" customHeight="1">
      <c r="G46" s="13"/>
    </row>
    <row r="47" spans="1:7" s="11" customFormat="1">
      <c r="G47" s="13"/>
    </row>
    <row r="48" spans="1:7" s="11" customFormat="1"/>
    <row r="49" spans="2:6" s="11" customFormat="1"/>
    <row r="50" spans="2:6" s="11" customFormat="1"/>
    <row r="51" spans="2:6" s="11" customFormat="1" ht="21">
      <c r="B51" s="40" t="s">
        <v>13</v>
      </c>
      <c r="C51" s="40"/>
      <c r="D51" s="40"/>
      <c r="E51" s="38" t="s">
        <v>14</v>
      </c>
      <c r="F51" s="39"/>
    </row>
    <row r="52" spans="2:6" s="11" customFormat="1">
      <c r="B52" s="44" t="s">
        <v>15</v>
      </c>
      <c r="C52" s="44"/>
      <c r="D52" s="44"/>
      <c r="E52" s="43" cm="1">
        <f t="array" ref="E52">aporte</f>
        <v>300</v>
      </c>
      <c r="F52" s="43"/>
    </row>
    <row r="53" spans="2:6" s="11" customFormat="1"/>
    <row r="54" spans="2:6" s="11" customFormat="1">
      <c r="B54" s="41" t="s">
        <v>16</v>
      </c>
      <c r="C54" s="42"/>
      <c r="D54" s="42"/>
      <c r="E54" s="23" t="s">
        <v>17</v>
      </c>
      <c r="F54" s="15" t="s">
        <v>18</v>
      </c>
    </row>
    <row r="55" spans="2:6" s="11" customFormat="1">
      <c r="B55" s="24" t="s">
        <v>19</v>
      </c>
      <c r="C55" s="25"/>
      <c r="D55" s="25"/>
      <c r="E55" s="16">
        <f>VLOOKUP($E$51&amp;B55,Planilha1!$A$1:$D$19,4,FALSE)</f>
        <v>0.15</v>
      </c>
      <c r="F55" s="17">
        <f>$E$52*E55</f>
        <v>45</v>
      </c>
    </row>
    <row r="56" spans="2:6" s="11" customFormat="1">
      <c r="B56" s="26" t="s">
        <v>20</v>
      </c>
      <c r="C56" s="27"/>
      <c r="D56" s="27"/>
      <c r="E56" s="16">
        <f>VLOOKUP($E$51&amp;B56,Planilha1!$A$1:$D$19,4,FALSE)</f>
        <v>0.1</v>
      </c>
      <c r="F56" s="18">
        <f>$E$52*E56</f>
        <v>30</v>
      </c>
    </row>
    <row r="57" spans="2:6" s="11" customFormat="1">
      <c r="B57" s="26" t="s">
        <v>21</v>
      </c>
      <c r="C57" s="27"/>
      <c r="D57" s="27"/>
      <c r="E57" s="16">
        <f>VLOOKUP($E$51&amp;B57,Planilha1!$A$1:$D$19,4,FALSE)</f>
        <v>0.2</v>
      </c>
      <c r="F57" s="18">
        <f>$E$52*E57</f>
        <v>60</v>
      </c>
    </row>
    <row r="58" spans="2:6" s="11" customFormat="1">
      <c r="B58" s="26" t="s">
        <v>22</v>
      </c>
      <c r="C58" s="27"/>
      <c r="D58" s="27"/>
      <c r="E58" s="16">
        <f>VLOOKUP($E$51&amp;B58,Planilha1!$A$1:$D$19,4,FALSE)</f>
        <v>0.1</v>
      </c>
      <c r="F58" s="18">
        <f>$E$52*E58</f>
        <v>30</v>
      </c>
    </row>
    <row r="59" spans="2:6" s="11" customFormat="1">
      <c r="B59" s="26" t="s">
        <v>23</v>
      </c>
      <c r="C59" s="27"/>
      <c r="D59" s="27"/>
      <c r="E59" s="16">
        <f>VLOOKUP($E$51&amp;B59,Planilha1!$A$1:$D$19,4,FALSE)</f>
        <v>0.25</v>
      </c>
      <c r="F59" s="18">
        <f>$E$52*E59</f>
        <v>75</v>
      </c>
    </row>
    <row r="60" spans="2:6" s="11" customFormat="1">
      <c r="B60" s="28" t="s">
        <v>24</v>
      </c>
      <c r="C60" s="29"/>
      <c r="D60" s="29"/>
      <c r="E60" s="22">
        <f>VLOOKUP($E$51&amp;B60,Planilha1!$A$1:$D$19,4,FALSE)</f>
        <v>0.2</v>
      </c>
      <c r="F60" s="19">
        <f>$E$52*E60</f>
        <v>60</v>
      </c>
    </row>
    <row r="61" spans="2:6" s="11" customFormat="1"/>
    <row r="62" spans="2:6" s="11" customFormat="1"/>
    <row r="63" spans="2:6" s="11" customFormat="1"/>
    <row r="64" spans="2:6" s="11" customFormat="1"/>
    <row r="65" spans="1:7" s="11" customFormat="1"/>
    <row r="66" spans="1:7" s="11" customFormat="1"/>
    <row r="67" spans="1:7" s="11" customFormat="1"/>
    <row r="68" spans="1:7" s="11" customFormat="1"/>
    <row r="69" spans="1:7" s="11" customFormat="1"/>
    <row r="70" spans="1:7" s="11" customFormat="1"/>
    <row r="71" spans="1:7">
      <c r="A71" s="11"/>
      <c r="B71" s="11"/>
      <c r="C71" s="11"/>
      <c r="D71" s="11"/>
      <c r="E71" s="11"/>
      <c r="F71" s="11"/>
      <c r="G71" s="11"/>
    </row>
    <row r="72" spans="1:7">
      <c r="A72" s="11"/>
      <c r="B72" s="11"/>
      <c r="C72" s="11"/>
      <c r="D72" s="11"/>
      <c r="E72" s="11"/>
      <c r="F72" s="11"/>
      <c r="G72" s="11"/>
    </row>
    <row r="73" spans="1:7">
      <c r="A73" s="11"/>
      <c r="B73" s="11"/>
      <c r="C73" s="11"/>
      <c r="D73" s="11"/>
      <c r="E73" s="11"/>
      <c r="F73" s="11"/>
      <c r="G73" s="11"/>
    </row>
    <row r="74" spans="1:7">
      <c r="A74" s="11"/>
      <c r="B74" s="11"/>
      <c r="C74" s="11"/>
      <c r="D74" s="11"/>
      <c r="E74" s="11"/>
      <c r="F74" s="11"/>
      <c r="G74" s="11"/>
    </row>
    <row r="75" spans="1:7">
      <c r="A75" s="11"/>
      <c r="B75" s="11"/>
      <c r="C75" s="11"/>
      <c r="D75" s="11"/>
      <c r="E75" s="11"/>
      <c r="F75" s="11"/>
      <c r="G75" s="11"/>
    </row>
  </sheetData>
  <mergeCells count="34">
    <mergeCell ref="B7:F8"/>
    <mergeCell ref="B17:E17"/>
    <mergeCell ref="B33:D33"/>
    <mergeCell ref="F22:F23"/>
    <mergeCell ref="B22:E23"/>
    <mergeCell ref="B31:D31"/>
    <mergeCell ref="B32:D32"/>
    <mergeCell ref="B24:D24"/>
    <mergeCell ref="B30:D30"/>
    <mergeCell ref="B18:E18"/>
    <mergeCell ref="B19:E19"/>
    <mergeCell ref="B20:E20"/>
    <mergeCell ref="B9:E9"/>
    <mergeCell ref="B10:E10"/>
    <mergeCell ref="B11:E11"/>
    <mergeCell ref="B12:E12"/>
    <mergeCell ref="B16:E16"/>
    <mergeCell ref="B14:F15"/>
    <mergeCell ref="E51:F51"/>
    <mergeCell ref="B51:D51"/>
    <mergeCell ref="B54:D54"/>
    <mergeCell ref="E52:F52"/>
    <mergeCell ref="B52:D52"/>
    <mergeCell ref="B25:D25"/>
    <mergeCell ref="B26:D26"/>
    <mergeCell ref="B27:D27"/>
    <mergeCell ref="B28:D28"/>
    <mergeCell ref="B29:D29"/>
    <mergeCell ref="B55:D55"/>
    <mergeCell ref="B56:D56"/>
    <mergeCell ref="B58:D58"/>
    <mergeCell ref="B59:D59"/>
    <mergeCell ref="B60:D60"/>
    <mergeCell ref="B57:D57"/>
  </mergeCells>
  <conditionalFormatting sqref="F32 F19">
    <cfRule type="cellIs" dxfId="0" priority="2" operator="lessThan">
      <formula>0</formula>
    </cfRule>
  </conditionalFormatting>
  <dataValidations count="1">
    <dataValidation type="list" allowBlank="1" showInputMessage="1" showErrorMessage="1" sqref="E51:F51" xr:uid="{F3BD8721-01E0-41BD-AFD1-6AF1795ED377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4D03-5EDE-4508-92B1-2FEB5FF2DCD0}">
  <dimension ref="A1:F19"/>
  <sheetViews>
    <sheetView workbookViewId="0">
      <selection activeCell="E15" sqref="E15"/>
    </sheetView>
  </sheetViews>
  <sheetFormatPr defaultRowHeight="15"/>
  <cols>
    <col min="1" max="1" width="32.5703125" bestFit="1" customWidth="1"/>
    <col min="2" max="2" width="21.42578125" customWidth="1"/>
    <col min="3" max="3" width="19.28515625" bestFit="1" customWidth="1"/>
  </cols>
  <sheetData>
    <row r="1" spans="1:6">
      <c r="A1" s="20" t="s">
        <v>25</v>
      </c>
      <c r="B1" s="20" t="s">
        <v>26</v>
      </c>
      <c r="C1" s="20" t="s">
        <v>27</v>
      </c>
      <c r="D1" s="20" t="s">
        <v>28</v>
      </c>
    </row>
    <row r="2" spans="1:6">
      <c r="A2" s="1" t="str">
        <f>B2&amp;C2</f>
        <v>ConservadorPAPEL</v>
      </c>
      <c r="B2" s="1" t="s">
        <v>29</v>
      </c>
      <c r="C2" t="s">
        <v>19</v>
      </c>
      <c r="D2" s="21">
        <v>0.35</v>
      </c>
    </row>
    <row r="3" spans="1:6">
      <c r="A3" s="1" t="str">
        <f t="shared" ref="A3:A7" si="0">B3&amp;C3</f>
        <v>ConservadorRENDA URBANA</v>
      </c>
      <c r="B3" s="1" t="s">
        <v>29</v>
      </c>
      <c r="C3" t="s">
        <v>20</v>
      </c>
      <c r="D3" s="21">
        <v>0.2</v>
      </c>
    </row>
    <row r="4" spans="1:6">
      <c r="A4" s="1" t="str">
        <f t="shared" si="0"/>
        <v>ConservadorLOGÍSTICA</v>
      </c>
      <c r="B4" s="1" t="s">
        <v>29</v>
      </c>
      <c r="C4" t="s">
        <v>21</v>
      </c>
      <c r="D4" s="21">
        <v>0.15</v>
      </c>
    </row>
    <row r="5" spans="1:6">
      <c r="A5" s="1" t="str">
        <f t="shared" si="0"/>
        <v>ConservadorSHOPPINGS</v>
      </c>
      <c r="B5" s="1" t="s">
        <v>29</v>
      </c>
      <c r="C5" t="s">
        <v>22</v>
      </c>
      <c r="D5" s="21">
        <v>0.15</v>
      </c>
    </row>
    <row r="6" spans="1:6">
      <c r="A6" s="1" t="str">
        <f t="shared" si="0"/>
        <v>ConservadorLAGES CORPORATIVAS</v>
      </c>
      <c r="B6" s="1" t="s">
        <v>29</v>
      </c>
      <c r="C6" t="s">
        <v>23</v>
      </c>
      <c r="D6" s="21">
        <v>0.05</v>
      </c>
    </row>
    <row r="7" spans="1:6">
      <c r="A7" s="79" t="str">
        <f t="shared" si="0"/>
        <v>ConservadorFOFS</v>
      </c>
      <c r="B7" s="79" t="s">
        <v>29</v>
      </c>
      <c r="C7" s="80" t="s">
        <v>24</v>
      </c>
      <c r="D7" s="81">
        <v>0.1</v>
      </c>
    </row>
    <row r="8" spans="1:6">
      <c r="A8" s="1" t="str">
        <f t="shared" ref="A8:A19" si="1">B8&amp;C8</f>
        <v>ModeradoPAPEL</v>
      </c>
      <c r="B8" s="1" t="s">
        <v>30</v>
      </c>
      <c r="C8" t="s">
        <v>19</v>
      </c>
      <c r="D8" s="21">
        <v>0.25</v>
      </c>
      <c r="F8" s="82"/>
    </row>
    <row r="9" spans="1:6">
      <c r="A9" s="1" t="str">
        <f t="shared" si="1"/>
        <v>ModeradoRENDA URBANA</v>
      </c>
      <c r="B9" s="1" t="s">
        <v>30</v>
      </c>
      <c r="C9" t="s">
        <v>20</v>
      </c>
      <c r="D9" s="21">
        <v>0.15</v>
      </c>
    </row>
    <row r="10" spans="1:6">
      <c r="A10" s="1" t="str">
        <f t="shared" si="1"/>
        <v>ModeradoLOGÍSTICA</v>
      </c>
      <c r="B10" s="1" t="s">
        <v>30</v>
      </c>
      <c r="C10" t="s">
        <v>21</v>
      </c>
      <c r="D10" s="21">
        <v>0.2</v>
      </c>
    </row>
    <row r="11" spans="1:6">
      <c r="A11" s="1" t="str">
        <f t="shared" si="1"/>
        <v>ModeradoSHOPPINGS</v>
      </c>
      <c r="B11" s="1" t="s">
        <v>30</v>
      </c>
      <c r="C11" t="s">
        <v>22</v>
      </c>
      <c r="D11" s="21">
        <v>0.15</v>
      </c>
    </row>
    <row r="12" spans="1:6">
      <c r="A12" s="1" t="str">
        <f t="shared" si="1"/>
        <v>ModeradoLAGES CORPORATIVAS</v>
      </c>
      <c r="B12" s="1" t="s">
        <v>30</v>
      </c>
      <c r="C12" t="s">
        <v>23</v>
      </c>
      <c r="D12" s="21">
        <v>0.1</v>
      </c>
    </row>
    <row r="13" spans="1:6">
      <c r="A13" s="79" t="str">
        <f t="shared" si="1"/>
        <v>ModeradoFOFS</v>
      </c>
      <c r="B13" s="79" t="s">
        <v>30</v>
      </c>
      <c r="C13" s="80" t="s">
        <v>24</v>
      </c>
      <c r="D13" s="81">
        <v>0.15</v>
      </c>
    </row>
    <row r="14" spans="1:6">
      <c r="A14" s="1" t="str">
        <f t="shared" si="1"/>
        <v>AgressivoPAPEL</v>
      </c>
      <c r="B14" s="1" t="s">
        <v>14</v>
      </c>
      <c r="C14" t="s">
        <v>19</v>
      </c>
      <c r="D14" s="21">
        <v>0.15</v>
      </c>
    </row>
    <row r="15" spans="1:6">
      <c r="A15" s="1" t="str">
        <f t="shared" si="1"/>
        <v>AgressivoRENDA URBANA</v>
      </c>
      <c r="B15" s="1" t="s">
        <v>14</v>
      </c>
      <c r="C15" t="s">
        <v>20</v>
      </c>
      <c r="D15" s="21">
        <v>0.1</v>
      </c>
    </row>
    <row r="16" spans="1:6">
      <c r="A16" s="1" t="str">
        <f t="shared" si="1"/>
        <v>AgressivoLOGÍSTICA</v>
      </c>
      <c r="B16" s="1" t="s">
        <v>14</v>
      </c>
      <c r="C16" t="s">
        <v>21</v>
      </c>
      <c r="D16" s="21">
        <v>0.2</v>
      </c>
    </row>
    <row r="17" spans="1:4">
      <c r="A17" s="1" t="str">
        <f t="shared" si="1"/>
        <v>AgressivoSHOPPINGS</v>
      </c>
      <c r="B17" s="1" t="s">
        <v>14</v>
      </c>
      <c r="C17" t="s">
        <v>22</v>
      </c>
      <c r="D17" s="21">
        <v>0.1</v>
      </c>
    </row>
    <row r="18" spans="1:4">
      <c r="A18" s="1" t="str">
        <f t="shared" si="1"/>
        <v>AgressivoLAGES CORPORATIVAS</v>
      </c>
      <c r="B18" s="1" t="s">
        <v>14</v>
      </c>
      <c r="C18" t="s">
        <v>23</v>
      </c>
      <c r="D18" s="21">
        <v>0.25</v>
      </c>
    </row>
    <row r="19" spans="1:4">
      <c r="A19" s="1" t="str">
        <f t="shared" si="1"/>
        <v>AgressivoFOFS</v>
      </c>
      <c r="B19" s="1" t="s">
        <v>14</v>
      </c>
      <c r="C19" t="s">
        <v>24</v>
      </c>
      <c r="D19" s="2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2026-10-26T11:54:23Z</dcterms:created>
  <dcterms:modified xsi:type="dcterms:W3CDTF">2026-10-27T13:34:16Z</dcterms:modified>
  <cp:category/>
  <cp:contentStatus/>
</cp:coreProperties>
</file>